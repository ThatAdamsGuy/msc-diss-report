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mc:AlternateContent xmlns:mc="http://schemas.openxmlformats.org/markup-compatibility/2006">
    <mc:Choice Requires="x15">
      <x15ac:absPath xmlns:x15ac="http://schemas.microsoft.com/office/spreadsheetml/2010/11/ac" url="C:\Users\harry\Documents\Motorsport Engineering\9_Thesis\Proposal\"/>
    </mc:Choice>
  </mc:AlternateContent>
  <xr:revisionPtr revIDLastSave="0" documentId="13_ncr:1_{1DE8C2B1-CE07-4F69-8B6E-389170EFE925}" xr6:coauthVersionLast="47" xr6:coauthVersionMax="47" xr10:uidLastSave="{00000000-0000-0000-0000-000000000000}"/>
  <bookViews>
    <workbookView xWindow="-120" yWindow="-120" windowWidth="29040" windowHeight="15720" xr2:uid="{00000000-000D-0000-FFFF-FFFF00000000}"/>
  </bookViews>
  <sheets>
    <sheet name="GanttChart" sheetId="9" r:id="rId1"/>
  </sheets>
  <definedNames>
    <definedName name="prevWBS" localSheetId="0">GanttChart!$A1048576</definedName>
    <definedName name="_xlnm.Print_Area" localSheetId="0">GanttChart!$A$1:$BN$47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9" i="9" l="1"/>
  <c r="F44" i="9"/>
  <c r="F43" i="9"/>
  <c r="F45" i="9"/>
  <c r="F47" i="9"/>
  <c r="I47" i="9" s="1"/>
  <c r="F46" i="9"/>
  <c r="I46" i="9" s="1"/>
  <c r="F41" i="9"/>
  <c r="F42" i="9"/>
  <c r="F37" i="9" l="1"/>
  <c r="F38" i="9"/>
  <c r="F40" i="9"/>
  <c r="F24" i="9"/>
  <c r="F23" i="9"/>
  <c r="F22" i="9"/>
  <c r="F21" i="9"/>
  <c r="I21" i="9" s="1"/>
  <c r="F25" i="9"/>
  <c r="F26" i="9"/>
  <c r="F27" i="9"/>
  <c r="F11" i="9"/>
  <c r="F8" i="9" l="1"/>
  <c r="I8" i="9" s="1"/>
  <c r="F31" i="9"/>
  <c r="I31" i="9" s="1"/>
  <c r="I25" i="9"/>
  <c r="F15" i="9"/>
  <c r="I15" i="9" s="1"/>
  <c r="F12" i="9" l="1"/>
  <c r="F9" i="9"/>
  <c r="K6" i="9"/>
  <c r="F13" i="9" l="1"/>
  <c r="I13" i="9" s="1"/>
  <c r="I12" i="9"/>
  <c r="F10" i="9"/>
  <c r="I10" i="9" s="1"/>
  <c r="I9" i="9"/>
  <c r="F14" i="9"/>
  <c r="I14" i="9" s="1"/>
  <c r="K7" i="9"/>
  <c r="K4" i="9"/>
  <c r="A8" i="9"/>
  <c r="L6" i="9" l="1"/>
  <c r="F17" i="9" l="1"/>
  <c r="I17" i="9" s="1"/>
  <c r="F16" i="9"/>
  <c r="I16" i="9" s="1"/>
  <c r="I27" i="9"/>
  <c r="I26" i="9"/>
  <c r="F33" i="9"/>
  <c r="I33" i="9" s="1"/>
  <c r="F32" i="9"/>
  <c r="I32" i="9" s="1"/>
  <c r="M6" i="9"/>
  <c r="F28" i="9"/>
  <c r="I28" i="9" s="1"/>
  <c r="F34" i="9" l="1"/>
  <c r="I34" i="9" s="1"/>
  <c r="N6" i="9"/>
  <c r="F35" i="9" l="1"/>
  <c r="I35" i="9" s="1"/>
  <c r="F29" i="9"/>
  <c r="I29" i="9" s="1"/>
  <c r="O6" i="9"/>
  <c r="K5" i="9"/>
  <c r="F36" i="9" l="1"/>
  <c r="I36" i="9" s="1"/>
  <c r="F30" i="9"/>
  <c r="I30" i="9" s="1"/>
  <c r="I11" i="9"/>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l="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F18" i="9"/>
  <c r="A39" i="9" l="1"/>
  <c r="A40" i="9" s="1"/>
  <c r="A41" i="9" s="1"/>
  <c r="A42" i="9" s="1"/>
  <c r="A43" i="9" s="1"/>
  <c r="I18" i="9"/>
  <c r="F19" i="9"/>
  <c r="A44" i="9" l="1"/>
  <c r="A45" i="9" s="1"/>
  <c r="A46" i="9" s="1"/>
  <c r="A47" i="9" s="1"/>
  <c r="I19" i="9"/>
  <c r="F20" i="9"/>
  <c r="I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<sst xmlns="http://schemas.openxmlformats.org/spreadsheetml/2006/main" count="56" uniqueCount="56">
  <si>
    <t>WBS</t>
  </si>
  <si>
    <t>[Name]</t>
  </si>
  <si>
    <t>TASK</t>
  </si>
  <si>
    <t>LEAD</t>
  </si>
  <si>
    <t>START</t>
  </si>
  <si>
    <t>END</t>
  </si>
  <si>
    <t>DAYS</t>
  </si>
  <si>
    <t>% DONE</t>
  </si>
  <si>
    <t>WORK DAYS</t>
  </si>
  <si>
    <t>PREDECESSOR</t>
  </si>
  <si>
    <t xml:space="preserve">Display Week </t>
  </si>
  <si>
    <t xml:space="preserve">Project Start Date </t>
  </si>
  <si>
    <t xml:space="preserve">Project Lead </t>
  </si>
  <si>
    <t>Model</t>
  </si>
  <si>
    <t>Backend</t>
  </si>
  <si>
    <t>Frontend</t>
  </si>
  <si>
    <t>Write Project Proposal</t>
  </si>
  <si>
    <t>Harry Adams</t>
  </si>
  <si>
    <t>Undercut Calculator Project Schedule</t>
  </si>
  <si>
    <t>MSc Project</t>
  </si>
  <si>
    <t>Prioritise parameters</t>
  </si>
  <si>
    <t>Investigate FastF1 endpoints for established parameters</t>
  </si>
  <si>
    <t>List data parameters required to model undercut</t>
  </si>
  <si>
    <t>List user input parameters required to model undercut</t>
  </si>
  <si>
    <t>Build basic .NET API</t>
  </si>
  <si>
    <t>Build basic Python Data Fetcher</t>
  </si>
  <si>
    <t>Fetch Data and parse required  parameters</t>
  </si>
  <si>
    <t>Convert data to JSON format</t>
  </si>
  <si>
    <t>Expose Data via API</t>
  </si>
  <si>
    <t>Create Hello World project</t>
  </si>
  <si>
    <t>Create Model for Detecting Undercut</t>
  </si>
  <si>
    <t>Design analysis page</t>
  </si>
  <si>
    <t>Create analysis page</t>
  </si>
  <si>
    <t>Expose analysis via API</t>
  </si>
  <si>
    <t>Testing</t>
  </si>
  <si>
    <t>Find good testing examples with clear undercut opportunities</t>
  </si>
  <si>
    <t>Test the model with self-identified opportunities</t>
  </si>
  <si>
    <t>Refine model as required</t>
  </si>
  <si>
    <t>Write Report - Sprint 1</t>
  </si>
  <si>
    <t>Write Report - Sprint 2</t>
  </si>
  <si>
    <t>Write Report - Sprint 3</t>
  </si>
  <si>
    <t>Write Report - Sprint 4</t>
  </si>
  <si>
    <t>Report - Alongside</t>
  </si>
  <si>
    <t>Write Report - Sprint 5</t>
  </si>
  <si>
    <t>DEADLINE</t>
  </si>
  <si>
    <t>Create Presentation &amp; Poster</t>
  </si>
  <si>
    <t>Give Report for Suggestions</t>
  </si>
  <si>
    <t>Write Report - Sprint 6 (SHORT)</t>
  </si>
  <si>
    <t>Give Presentation &amp; Poster for Suggestions</t>
  </si>
  <si>
    <t>Make Report Edits</t>
  </si>
  <si>
    <t>Make Presentation &amp; Poster Edits</t>
  </si>
  <si>
    <t>Write Report (Chip Away Alongside Code)</t>
  </si>
  <si>
    <t>Finalise Report, Write En Masse</t>
  </si>
  <si>
    <t>Write Test Plan</t>
  </si>
  <si>
    <t>Execute Tests</t>
  </si>
  <si>
    <t>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</si>
</sst>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0" tint="-0.34998626667073579"/>
      <name val="Arial"/>
      <family val="2"/>
    </font>
    <font>
      <b/>
      <sz val="9"/>
      <name val="Arial"/>
      <family val="2"/>
      <scheme val="min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2">
    <xf numFmtId="0" fontId="0" fillId="0" borderId="0" xfId="0"/>
    <xf numFmtId="0" fontId="0" fillId="20" borderId="0" xfId="0" applyFill="1"/>
    <xf numFmtId="0" fontId="1" fillId="0" borderId="0" xfId="0" applyFont="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7" fillId="21" borderId="13" xfId="0" applyNumberFormat="1" applyFont="1" applyFill="1" applyBorder="1" applyAlignment="1">
      <alignment horizontal="center" vertical="center"/>
    </xf>
    <xf numFmtId="1" fontId="38" fillId="0" borderId="11" xfId="0" applyNumberFormat="1" applyFont="1" applyBorder="1" applyAlignment="1">
      <alignment horizontal="center" vertical="center"/>
    </xf>
    <xf numFmtId="1" fontId="37"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39" fillId="0" borderId="0" xfId="0" applyFont="1"/>
    <xf numFmtId="0" fontId="39"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0" fillId="0" borderId="17" xfId="0" applyFont="1" applyBorder="1" applyAlignment="1">
      <alignment horizontal="left" vertical="center"/>
    </xf>
    <xf numFmtId="0" fontId="40" fillId="0" borderId="17" xfId="0" applyFont="1" applyBorder="1" applyAlignment="1">
      <alignment horizontal="center" vertical="center" wrapText="1"/>
    </xf>
    <xf numFmtId="0" fontId="41" fillId="0" borderId="17" xfId="0" applyFont="1" applyBorder="1" applyAlignment="1">
      <alignment horizontal="center" vertical="center" wrapText="1"/>
    </xf>
    <xf numFmtId="0" fontId="40"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2"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14" fontId="35" fillId="22" borderId="11" xfId="0" applyNumberFormat="1" applyFont="1" applyFill="1" applyBorder="1" applyAlignment="1">
      <alignment horizontal="center" vertical="center"/>
    </xf>
    <xf numFmtId="14" fontId="30" fillId="21" borderId="10" xfId="0" applyNumberFormat="1" applyFont="1" applyFill="1" applyBorder="1" applyAlignment="1">
      <alignment horizontal="center" vertical="center"/>
    </xf>
    <xf numFmtId="14" fontId="35" fillId="0" borderId="11" xfId="0" applyNumberFormat="1" applyFont="1" applyBorder="1" applyAlignment="1">
      <alignment horizontal="center" vertical="center"/>
    </xf>
    <xf numFmtId="16" fontId="30" fillId="0" borderId="10" xfId="0" applyNumberFormat="1" applyFont="1" applyBorder="1" applyAlignment="1">
      <alignment vertical="center" wrapText="1"/>
    </xf>
    <xf numFmtId="0" fontId="35" fillId="0" borderId="0" xfId="0" applyFont="1" applyAlignment="1">
      <alignment horizontal="center" vertical="center"/>
    </xf>
    <xf numFmtId="1" fontId="35" fillId="0" borderId="0" xfId="0" applyNumberFormat="1" applyFont="1" applyAlignment="1">
      <alignment horizontal="center" vertical="center"/>
    </xf>
    <xf numFmtId="1" fontId="38" fillId="0" borderId="0" xfId="0" applyNumberFormat="1" applyFont="1" applyAlignment="1">
      <alignment horizontal="center" vertical="center"/>
    </xf>
    <xf numFmtId="0" fontId="30" fillId="0" borderId="0" xfId="0" applyFont="1" applyAlignment="1">
      <alignment vertical="center"/>
    </xf>
    <xf numFmtId="0" fontId="44" fillId="0" borderId="10" xfId="0" applyFont="1" applyBorder="1" applyAlignment="1">
      <alignment vertical="center" wrapText="1"/>
    </xf>
    <xf numFmtId="0" fontId="43"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6" fillId="0" borderId="15" xfId="0" applyFont="1" applyBorder="1" applyAlignment="1">
      <alignment horizontal="center" vertical="center"/>
    </xf>
    <xf numFmtId="0" fontId="36" fillId="0" borderId="12" xfId="0" applyFont="1" applyBorder="1" applyAlignment="1">
      <alignment horizontal="center" vertical="center"/>
    </xf>
    <xf numFmtId="0" fontId="36" fillId="0" borderId="16" xfId="0" applyFont="1" applyBorder="1" applyAlignment="1">
      <alignment horizontal="center" vertical="center"/>
    </xf>
    <xf numFmtId="1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0">
    <dxf>
      <border>
        <left style="thin">
          <color rgb="FFC00000"/>
        </left>
        <right style="thin">
          <color rgb="FFC00000"/>
        </right>
        <vertical/>
        <horizontal/>
      </border>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8"/>
</file>

<file path=xl/drawings/drawing1.xml><?xml version="1.0" encoding="utf-8"?>
<xdr:wsDr xmlns:xdr="http://schemas.openxmlformats.org/drawingml/2006/spreadsheetDrawing" xmlns:a="http://schemas.openxmlformats.org/drawingml/2006/main">
  <xdr:twoCellAnchor editAs="absolute">
    <xdr:from>
      <xdr:col>6</xdr:col>
      <xdr:colOff>47625</xdr:colOff>
      <xdr:row>5</xdr:row>
      <xdr:rowOff>142875</xdr:rowOff>
    </xdr:from>
    <xdr:to>
      <xdr:col>25</xdr:col>
      <xdr:colOff>66675</xdr:colOff>
      <xdr:row>10</xdr:row>
      <xdr:rowOff>4233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47"/>
  <sheetViews>
    <sheetView showGridLines="0" tabSelected="1" zoomScaleNormal="100" workbookViewId="0">
      <pane ySplit="7" topLeftCell="A8" activePane="bottomLeft" state="frozen"/>
      <selection pane="bottomLeft" activeCell="U18" sqref="U18:AI20"/>
    </sheetView>
  </sheetViews>
  <sheetFormatPr defaultColWidth="9.140625" defaultRowHeight="12.75" x14ac:dyDescent="0.2"/>
  <cols>
    <col min="1" max="1" width="6.85546875" customWidth="1"/>
    <col min="2" max="2" width="42.7109375" customWidth="1"/>
    <col min="3" max="3" width="7.7109375" hidden="1" customWidth="1"/>
    <col min="4" max="4" width="6.85546875" hidden="1" customWidth="1"/>
    <col min="5" max="6" width="12" customWidth="1"/>
    <col min="7" max="7" width="6" customWidth="1"/>
    <col min="8" max="8" width="6.7109375" customWidth="1"/>
    <col min="9" max="9" width="6.42578125" hidden="1" customWidth="1"/>
    <col min="10" max="10" width="1.85546875" customWidth="1"/>
    <col min="11" max="66" width="2.42578125" customWidth="1"/>
  </cols>
  <sheetData>
    <row r="1" spans="1:66" ht="30" customHeight="1" x14ac:dyDescent="0.2">
      <c r="A1" s="48" t="s">
        <v>18</v>
      </c>
      <c r="B1" s="6"/>
      <c r="C1" s="6"/>
      <c r="D1" s="6"/>
      <c r="E1" s="6"/>
      <c r="F1" s="6"/>
      <c r="I1" s="52"/>
      <c r="K1" s="63"/>
      <c r="L1" s="63"/>
      <c r="M1" s="63"/>
      <c r="N1" s="63"/>
      <c r="O1" s="63"/>
      <c r="P1" s="63"/>
      <c r="Q1" s="63"/>
      <c r="R1" s="63"/>
      <c r="S1" s="63"/>
      <c r="T1" s="63"/>
      <c r="U1" s="63"/>
      <c r="V1" s="63"/>
      <c r="W1" s="63"/>
      <c r="X1" s="63"/>
      <c r="Y1" s="63"/>
      <c r="Z1" s="63"/>
      <c r="AA1" s="63"/>
      <c r="AB1" s="63"/>
      <c r="AC1" s="63"/>
      <c r="AD1" s="63"/>
      <c r="AE1" s="63"/>
    </row>
    <row r="2" spans="1:66" ht="18" customHeight="1" x14ac:dyDescent="0.2">
      <c r="A2" s="8" t="s">
        <v>19</v>
      </c>
      <c r="B2" s="3"/>
      <c r="C2" s="3"/>
      <c r="D2" s="5"/>
      <c r="E2" s="53"/>
      <c r="F2" s="53"/>
      <c r="H2" s="1"/>
    </row>
    <row r="3" spans="1:66" ht="14.25" x14ac:dyDescent="0.2">
      <c r="A3" s="8"/>
      <c r="B3" s="2"/>
      <c r="H3" s="1"/>
      <c r="K3" s="4"/>
      <c r="L3" s="4"/>
      <c r="M3" s="4"/>
      <c r="N3" s="4"/>
      <c r="O3" s="4"/>
      <c r="P3" s="4"/>
      <c r="Q3" s="4"/>
      <c r="R3" s="4"/>
      <c r="S3" s="4"/>
      <c r="T3" s="4"/>
      <c r="U3" s="4"/>
      <c r="V3" s="4"/>
      <c r="W3" s="4"/>
      <c r="X3" s="4"/>
      <c r="Y3" s="4"/>
      <c r="Z3" s="4"/>
      <c r="AA3" s="4"/>
    </row>
    <row r="4" spans="1:66" ht="17.25" customHeight="1" x14ac:dyDescent="0.2">
      <c r="A4" s="38"/>
      <c r="B4" s="39" t="s">
        <v>11</v>
      </c>
      <c r="C4" s="68">
        <v>45773</v>
      </c>
      <c r="D4" s="68"/>
      <c r="E4" s="68"/>
      <c r="F4" s="38"/>
      <c r="G4" s="39" t="s">
        <v>10</v>
      </c>
      <c r="H4" s="51">
        <v>8</v>
      </c>
      <c r="I4" s="2"/>
      <c r="J4" s="7"/>
      <c r="K4" s="65" t="str">
        <f>"Week "&amp;(K6-($C$4-WEEKDAY($C$4,1)+2))/7+1</f>
        <v>Week 8</v>
      </c>
      <c r="L4" s="66"/>
      <c r="M4" s="66"/>
      <c r="N4" s="66"/>
      <c r="O4" s="66"/>
      <c r="P4" s="66"/>
      <c r="Q4" s="67"/>
      <c r="R4" s="65" t="str">
        <f>"Week "&amp;(R6-($C$4-WEEKDAY($C$4,1)+2))/7+1</f>
        <v>Week 9</v>
      </c>
      <c r="S4" s="66"/>
      <c r="T4" s="66"/>
      <c r="U4" s="66"/>
      <c r="V4" s="66"/>
      <c r="W4" s="66"/>
      <c r="X4" s="67"/>
      <c r="Y4" s="65" t="str">
        <f>"Week "&amp;(Y6-($C$4-WEEKDAY($C$4,1)+2))/7+1</f>
        <v>Week 10</v>
      </c>
      <c r="Z4" s="66"/>
      <c r="AA4" s="66"/>
      <c r="AB4" s="66"/>
      <c r="AC4" s="66"/>
      <c r="AD4" s="66"/>
      <c r="AE4" s="67"/>
      <c r="AF4" s="65" t="str">
        <f>"Week "&amp;(AF6-($C$4-WEEKDAY($C$4,1)+2))/7+1</f>
        <v>Week 11</v>
      </c>
      <c r="AG4" s="66"/>
      <c r="AH4" s="66"/>
      <c r="AI4" s="66"/>
      <c r="AJ4" s="66"/>
      <c r="AK4" s="66"/>
      <c r="AL4" s="67"/>
      <c r="AM4" s="65" t="str">
        <f>"Week "&amp;(AM6-($C$4-WEEKDAY($C$4,1)+2))/7+1</f>
        <v>Week 12</v>
      </c>
      <c r="AN4" s="66"/>
      <c r="AO4" s="66"/>
      <c r="AP4" s="66"/>
      <c r="AQ4" s="66"/>
      <c r="AR4" s="66"/>
      <c r="AS4" s="67"/>
      <c r="AT4" s="65" t="str">
        <f>"Week "&amp;(AT6-($C$4-WEEKDAY($C$4,1)+2))/7+1</f>
        <v>Week 13</v>
      </c>
      <c r="AU4" s="66"/>
      <c r="AV4" s="66"/>
      <c r="AW4" s="66"/>
      <c r="AX4" s="66"/>
      <c r="AY4" s="66"/>
      <c r="AZ4" s="67"/>
      <c r="BA4" s="65" t="str">
        <f>"Week "&amp;(BA6-($C$4-WEEKDAY($C$4,1)+2))/7+1</f>
        <v>Week 14</v>
      </c>
      <c r="BB4" s="66"/>
      <c r="BC4" s="66"/>
      <c r="BD4" s="66"/>
      <c r="BE4" s="66"/>
      <c r="BF4" s="66"/>
      <c r="BG4" s="67"/>
      <c r="BH4" s="65" t="str">
        <f>"Week "&amp;(BH6-($C$4-WEEKDAY($C$4,1)+2))/7+1</f>
        <v>Week 15</v>
      </c>
      <c r="BI4" s="66"/>
      <c r="BJ4" s="66"/>
      <c r="BK4" s="66"/>
      <c r="BL4" s="66"/>
      <c r="BM4" s="66"/>
      <c r="BN4" s="67"/>
    </row>
    <row r="5" spans="1:66" ht="17.25" customHeight="1" x14ac:dyDescent="0.2">
      <c r="A5" s="38"/>
      <c r="B5" s="39" t="s">
        <v>12</v>
      </c>
      <c r="C5" s="64" t="s">
        <v>17</v>
      </c>
      <c r="D5" s="64"/>
      <c r="E5" s="64"/>
      <c r="F5" s="38"/>
      <c r="G5" s="38"/>
      <c r="H5" s="38"/>
      <c r="I5" s="38"/>
      <c r="J5" s="7"/>
      <c r="K5" s="69">
        <f>K6</f>
        <v>45817</v>
      </c>
      <c r="L5" s="70"/>
      <c r="M5" s="70"/>
      <c r="N5" s="70"/>
      <c r="O5" s="70"/>
      <c r="P5" s="70"/>
      <c r="Q5" s="71"/>
      <c r="R5" s="69">
        <f>R6</f>
        <v>45824</v>
      </c>
      <c r="S5" s="70"/>
      <c r="T5" s="70"/>
      <c r="U5" s="70"/>
      <c r="V5" s="70"/>
      <c r="W5" s="70"/>
      <c r="X5" s="71"/>
      <c r="Y5" s="69">
        <f>Y6</f>
        <v>45831</v>
      </c>
      <c r="Z5" s="70"/>
      <c r="AA5" s="70"/>
      <c r="AB5" s="70"/>
      <c r="AC5" s="70"/>
      <c r="AD5" s="70"/>
      <c r="AE5" s="71"/>
      <c r="AF5" s="69">
        <f>AF6</f>
        <v>45838</v>
      </c>
      <c r="AG5" s="70"/>
      <c r="AH5" s="70"/>
      <c r="AI5" s="70"/>
      <c r="AJ5" s="70"/>
      <c r="AK5" s="70"/>
      <c r="AL5" s="71"/>
      <c r="AM5" s="69">
        <f>AM6</f>
        <v>45845</v>
      </c>
      <c r="AN5" s="70"/>
      <c r="AO5" s="70"/>
      <c r="AP5" s="70"/>
      <c r="AQ5" s="70"/>
      <c r="AR5" s="70"/>
      <c r="AS5" s="71"/>
      <c r="AT5" s="69">
        <f>AT6</f>
        <v>45852</v>
      </c>
      <c r="AU5" s="70"/>
      <c r="AV5" s="70"/>
      <c r="AW5" s="70"/>
      <c r="AX5" s="70"/>
      <c r="AY5" s="70"/>
      <c r="AZ5" s="71"/>
      <c r="BA5" s="69">
        <f>BA6</f>
        <v>45859</v>
      </c>
      <c r="BB5" s="70"/>
      <c r="BC5" s="70"/>
      <c r="BD5" s="70"/>
      <c r="BE5" s="70"/>
      <c r="BF5" s="70"/>
      <c r="BG5" s="71"/>
      <c r="BH5" s="69">
        <f>BH6</f>
        <v>45866</v>
      </c>
      <c r="BI5" s="70"/>
      <c r="BJ5" s="70"/>
      <c r="BK5" s="70"/>
      <c r="BL5" s="70"/>
      <c r="BM5" s="70"/>
      <c r="BN5" s="71"/>
    </row>
    <row r="6" spans="1:66" x14ac:dyDescent="0.2">
      <c r="A6" s="7"/>
      <c r="B6" s="7"/>
      <c r="C6" s="7"/>
      <c r="D6" s="7"/>
      <c r="E6" s="7"/>
      <c r="F6" s="7"/>
      <c r="G6" s="7"/>
      <c r="H6" s="7"/>
      <c r="I6" s="7"/>
      <c r="J6" s="7"/>
      <c r="K6" s="30">
        <f>C4-WEEKDAY(C4,1)+2+7*(H4-1)</f>
        <v>45817</v>
      </c>
      <c r="L6" s="21">
        <f t="shared" ref="L6:AQ6" si="0">K6+1</f>
        <v>45818</v>
      </c>
      <c r="M6" s="21">
        <f t="shared" si="0"/>
        <v>45819</v>
      </c>
      <c r="N6" s="21">
        <f t="shared" si="0"/>
        <v>45820</v>
      </c>
      <c r="O6" s="21">
        <f t="shared" si="0"/>
        <v>45821</v>
      </c>
      <c r="P6" s="21">
        <f t="shared" si="0"/>
        <v>45822</v>
      </c>
      <c r="Q6" s="31">
        <f t="shared" si="0"/>
        <v>45823</v>
      </c>
      <c r="R6" s="30">
        <f t="shared" si="0"/>
        <v>45824</v>
      </c>
      <c r="S6" s="21">
        <f t="shared" si="0"/>
        <v>45825</v>
      </c>
      <c r="T6" s="21">
        <f t="shared" si="0"/>
        <v>45826</v>
      </c>
      <c r="U6" s="21">
        <f t="shared" si="0"/>
        <v>45827</v>
      </c>
      <c r="V6" s="21">
        <f t="shared" si="0"/>
        <v>45828</v>
      </c>
      <c r="W6" s="21">
        <f t="shared" si="0"/>
        <v>45829</v>
      </c>
      <c r="X6" s="31">
        <f t="shared" si="0"/>
        <v>45830</v>
      </c>
      <c r="Y6" s="30">
        <f t="shared" si="0"/>
        <v>45831</v>
      </c>
      <c r="Z6" s="21">
        <f t="shared" si="0"/>
        <v>45832</v>
      </c>
      <c r="AA6" s="21">
        <f t="shared" si="0"/>
        <v>45833</v>
      </c>
      <c r="AB6" s="21">
        <f t="shared" si="0"/>
        <v>45834</v>
      </c>
      <c r="AC6" s="21">
        <f t="shared" si="0"/>
        <v>45835</v>
      </c>
      <c r="AD6" s="21">
        <f t="shared" si="0"/>
        <v>45836</v>
      </c>
      <c r="AE6" s="31">
        <f t="shared" si="0"/>
        <v>45837</v>
      </c>
      <c r="AF6" s="30">
        <f t="shared" si="0"/>
        <v>45838</v>
      </c>
      <c r="AG6" s="21">
        <f t="shared" si="0"/>
        <v>45839</v>
      </c>
      <c r="AH6" s="21">
        <f t="shared" si="0"/>
        <v>45840</v>
      </c>
      <c r="AI6" s="21">
        <f t="shared" si="0"/>
        <v>45841</v>
      </c>
      <c r="AJ6" s="21">
        <f t="shared" si="0"/>
        <v>45842</v>
      </c>
      <c r="AK6" s="21">
        <f t="shared" si="0"/>
        <v>45843</v>
      </c>
      <c r="AL6" s="31">
        <f t="shared" si="0"/>
        <v>45844</v>
      </c>
      <c r="AM6" s="30">
        <f t="shared" si="0"/>
        <v>45845</v>
      </c>
      <c r="AN6" s="21">
        <f t="shared" si="0"/>
        <v>45846</v>
      </c>
      <c r="AO6" s="21">
        <f t="shared" si="0"/>
        <v>45847</v>
      </c>
      <c r="AP6" s="21">
        <f t="shared" si="0"/>
        <v>45848</v>
      </c>
      <c r="AQ6" s="21">
        <f t="shared" si="0"/>
        <v>45849</v>
      </c>
      <c r="AR6" s="21">
        <f t="shared" ref="AR6:BN6" si="1">AQ6+1</f>
        <v>45850</v>
      </c>
      <c r="AS6" s="31">
        <f t="shared" si="1"/>
        <v>45851</v>
      </c>
      <c r="AT6" s="30">
        <f t="shared" si="1"/>
        <v>45852</v>
      </c>
      <c r="AU6" s="21">
        <f t="shared" si="1"/>
        <v>45853</v>
      </c>
      <c r="AV6" s="21">
        <f t="shared" si="1"/>
        <v>45854</v>
      </c>
      <c r="AW6" s="21">
        <f t="shared" si="1"/>
        <v>45855</v>
      </c>
      <c r="AX6" s="21">
        <f t="shared" si="1"/>
        <v>45856</v>
      </c>
      <c r="AY6" s="21">
        <f t="shared" si="1"/>
        <v>45857</v>
      </c>
      <c r="AZ6" s="31">
        <f t="shared" si="1"/>
        <v>45858</v>
      </c>
      <c r="BA6" s="30">
        <f t="shared" si="1"/>
        <v>45859</v>
      </c>
      <c r="BB6" s="21">
        <f t="shared" si="1"/>
        <v>45860</v>
      </c>
      <c r="BC6" s="21">
        <f t="shared" si="1"/>
        <v>45861</v>
      </c>
      <c r="BD6" s="21">
        <f t="shared" si="1"/>
        <v>45862</v>
      </c>
      <c r="BE6" s="21">
        <f t="shared" si="1"/>
        <v>45863</v>
      </c>
      <c r="BF6" s="21">
        <f t="shared" si="1"/>
        <v>45864</v>
      </c>
      <c r="BG6" s="31">
        <f t="shared" si="1"/>
        <v>45865</v>
      </c>
      <c r="BH6" s="30">
        <f t="shared" si="1"/>
        <v>45866</v>
      </c>
      <c r="BI6" s="21">
        <f t="shared" si="1"/>
        <v>45867</v>
      </c>
      <c r="BJ6" s="21">
        <f t="shared" si="1"/>
        <v>45868</v>
      </c>
      <c r="BK6" s="21">
        <f t="shared" si="1"/>
        <v>45869</v>
      </c>
      <c r="BL6" s="21">
        <f t="shared" si="1"/>
        <v>45870</v>
      </c>
      <c r="BM6" s="21">
        <f t="shared" si="1"/>
        <v>45871</v>
      </c>
      <c r="BN6" s="31">
        <f t="shared" si="1"/>
        <v>45872</v>
      </c>
    </row>
    <row r="7" spans="1:66" s="2" customFormat="1" ht="24.75" thickBot="1" x14ac:dyDescent="0.25">
      <c r="A7" s="41" t="s">
        <v>0</v>
      </c>
      <c r="B7" s="41" t="s">
        <v>2</v>
      </c>
      <c r="C7" s="42" t="s">
        <v>3</v>
      </c>
      <c r="D7" s="43" t="s">
        <v>9</v>
      </c>
      <c r="E7" s="44" t="s">
        <v>4</v>
      </c>
      <c r="F7" s="44" t="s">
        <v>5</v>
      </c>
      <c r="G7" s="42" t="s">
        <v>6</v>
      </c>
      <c r="H7" s="42" t="s">
        <v>7</v>
      </c>
      <c r="I7" s="42" t="s">
        <v>8</v>
      </c>
      <c r="J7" s="42"/>
      <c r="K7" s="45" t="str">
        <f t="shared" ref="K7:AP7" si="2">CHOOSE(WEEKDAY(K6,1),"S","M","T","W","T","F","S")</f>
        <v>M</v>
      </c>
      <c r="L7" s="46" t="str">
        <f t="shared" si="2"/>
        <v>T</v>
      </c>
      <c r="M7" s="46" t="str">
        <f t="shared" si="2"/>
        <v>W</v>
      </c>
      <c r="N7" s="46" t="str">
        <f t="shared" si="2"/>
        <v>T</v>
      </c>
      <c r="O7" s="46" t="str">
        <f t="shared" si="2"/>
        <v>F</v>
      </c>
      <c r="P7" s="46" t="str">
        <f t="shared" si="2"/>
        <v>S</v>
      </c>
      <c r="Q7" s="47" t="str">
        <f t="shared" si="2"/>
        <v>S</v>
      </c>
      <c r="R7" s="45" t="str">
        <f t="shared" si="2"/>
        <v>M</v>
      </c>
      <c r="S7" s="46" t="str">
        <f t="shared" si="2"/>
        <v>T</v>
      </c>
      <c r="T7" s="46" t="str">
        <f t="shared" si="2"/>
        <v>W</v>
      </c>
      <c r="U7" s="46" t="str">
        <f t="shared" si="2"/>
        <v>T</v>
      </c>
      <c r="V7" s="46" t="str">
        <f t="shared" si="2"/>
        <v>F</v>
      </c>
      <c r="W7" s="46" t="str">
        <f t="shared" si="2"/>
        <v>S</v>
      </c>
      <c r="X7" s="47" t="str">
        <f t="shared" si="2"/>
        <v>S</v>
      </c>
      <c r="Y7" s="45" t="str">
        <f t="shared" si="2"/>
        <v>M</v>
      </c>
      <c r="Z7" s="46" t="str">
        <f t="shared" si="2"/>
        <v>T</v>
      </c>
      <c r="AA7" s="46" t="str">
        <f t="shared" si="2"/>
        <v>W</v>
      </c>
      <c r="AB7" s="46" t="str">
        <f t="shared" si="2"/>
        <v>T</v>
      </c>
      <c r="AC7" s="46" t="str">
        <f t="shared" si="2"/>
        <v>F</v>
      </c>
      <c r="AD7" s="46" t="str">
        <f t="shared" si="2"/>
        <v>S</v>
      </c>
      <c r="AE7" s="47" t="str">
        <f t="shared" si="2"/>
        <v>S</v>
      </c>
      <c r="AF7" s="45" t="str">
        <f t="shared" si="2"/>
        <v>M</v>
      </c>
      <c r="AG7" s="46" t="str">
        <f t="shared" si="2"/>
        <v>T</v>
      </c>
      <c r="AH7" s="46" t="str">
        <f t="shared" si="2"/>
        <v>W</v>
      </c>
      <c r="AI7" s="46" t="str">
        <f t="shared" si="2"/>
        <v>T</v>
      </c>
      <c r="AJ7" s="46" t="str">
        <f t="shared" si="2"/>
        <v>F</v>
      </c>
      <c r="AK7" s="46" t="str">
        <f t="shared" si="2"/>
        <v>S</v>
      </c>
      <c r="AL7" s="47" t="str">
        <f t="shared" si="2"/>
        <v>S</v>
      </c>
      <c r="AM7" s="45" t="str">
        <f t="shared" si="2"/>
        <v>M</v>
      </c>
      <c r="AN7" s="46" t="str">
        <f t="shared" si="2"/>
        <v>T</v>
      </c>
      <c r="AO7" s="46" t="str">
        <f t="shared" si="2"/>
        <v>W</v>
      </c>
      <c r="AP7" s="46" t="str">
        <f t="shared" si="2"/>
        <v>T</v>
      </c>
      <c r="AQ7" s="46" t="str">
        <f t="shared" ref="AQ7:BN7" si="3">CHOOSE(WEEKDAY(AQ6,1),"S","M","T","W","T","F","S")</f>
        <v>F</v>
      </c>
      <c r="AR7" s="46" t="str">
        <f t="shared" si="3"/>
        <v>S</v>
      </c>
      <c r="AS7" s="47" t="str">
        <f t="shared" si="3"/>
        <v>S</v>
      </c>
      <c r="AT7" s="45" t="str">
        <f t="shared" si="3"/>
        <v>M</v>
      </c>
      <c r="AU7" s="46" t="str">
        <f t="shared" si="3"/>
        <v>T</v>
      </c>
      <c r="AV7" s="46" t="str">
        <f t="shared" si="3"/>
        <v>W</v>
      </c>
      <c r="AW7" s="46" t="str">
        <f t="shared" si="3"/>
        <v>T</v>
      </c>
      <c r="AX7" s="46" t="str">
        <f t="shared" si="3"/>
        <v>F</v>
      </c>
      <c r="AY7" s="46" t="str">
        <f t="shared" si="3"/>
        <v>S</v>
      </c>
      <c r="AZ7" s="47" t="str">
        <f t="shared" si="3"/>
        <v>S</v>
      </c>
      <c r="BA7" s="45" t="str">
        <f t="shared" si="3"/>
        <v>M</v>
      </c>
      <c r="BB7" s="46" t="str">
        <f t="shared" si="3"/>
        <v>T</v>
      </c>
      <c r="BC7" s="46" t="str">
        <f t="shared" si="3"/>
        <v>W</v>
      </c>
      <c r="BD7" s="46" t="str">
        <f t="shared" si="3"/>
        <v>T</v>
      </c>
      <c r="BE7" s="46" t="str">
        <f t="shared" si="3"/>
        <v>F</v>
      </c>
      <c r="BF7" s="46" t="str">
        <f t="shared" si="3"/>
        <v>S</v>
      </c>
      <c r="BG7" s="47" t="str">
        <f t="shared" si="3"/>
        <v>S</v>
      </c>
      <c r="BH7" s="45" t="str">
        <f t="shared" si="3"/>
        <v>M</v>
      </c>
      <c r="BI7" s="46" t="str">
        <f t="shared" si="3"/>
        <v>T</v>
      </c>
      <c r="BJ7" s="46" t="str">
        <f t="shared" si="3"/>
        <v>W</v>
      </c>
      <c r="BK7" s="46" t="str">
        <f t="shared" si="3"/>
        <v>T</v>
      </c>
      <c r="BL7" s="46" t="str">
        <f t="shared" si="3"/>
        <v>F</v>
      </c>
      <c r="BM7" s="46" t="str">
        <f t="shared" si="3"/>
        <v>S</v>
      </c>
      <c r="BN7" s="47" t="str">
        <f t="shared" si="3"/>
        <v>S</v>
      </c>
    </row>
    <row r="8" spans="1:66" s="11" customFormat="1" ht="18" x14ac:dyDescent="0.2">
      <c r="A8" s="22" t="str">
        <f>IF(ISERROR(VALUE(SUBSTITUTE(prevWBS,".",""))),"1",IF(ISERROR(FIND("`",SUBSTITUTE(prevWBS,".","`",1))),TEXT(VALUE(prevWBS)+1,"#"),TEXT(VALUE(LEFT(prevWBS,FIND("`",SUBSTITUTE(prevWBS,".","`",1))-1))+1,"#")))</f>
        <v>1</v>
      </c>
      <c r="B8" s="23" t="s">
        <v>13</v>
      </c>
      <c r="C8" s="24"/>
      <c r="D8" s="25"/>
      <c r="E8" s="26"/>
      <c r="F8" s="40" t="str">
        <f>IF(ISBLANK(E8)," - ",IF(G8=0,E8,E8+G8-1))</f>
        <v xml:space="preserve"> - </v>
      </c>
      <c r="G8" s="27"/>
      <c r="H8" s="28"/>
      <c r="I8" s="29" t="str">
        <f t="shared" ref="I8:I36" si="4">IF(OR(F8=0,E8=0)," - ",NETWORKDAYS(E8,F8))</f>
        <v xml:space="preserve"> - </v>
      </c>
      <c r="J8" s="32"/>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row>
    <row r="9" spans="1:66" s="17" customFormat="1" ht="18" x14ac:dyDescent="0.2">
      <c r="A9" s="16" t="str">
        <f t="shared" ref="A9:A14"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49" t="s">
        <v>22</v>
      </c>
      <c r="C9" s="17" t="s">
        <v>1</v>
      </c>
      <c r="D9" s="50"/>
      <c r="E9" s="54">
        <v>45803</v>
      </c>
      <c r="F9" s="56">
        <f>IF(ISBLANK(E9)," - ",IF(G9=0,E9,E9+G9-1))</f>
        <v>45806</v>
      </c>
      <c r="G9" s="18">
        <v>4</v>
      </c>
      <c r="H9" s="19">
        <v>0</v>
      </c>
      <c r="I9" s="20">
        <f t="shared" si="4"/>
        <v>4</v>
      </c>
      <c r="J9" s="33"/>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24" x14ac:dyDescent="0.2">
      <c r="A10" s="16" t="str">
        <f t="shared" si="5"/>
        <v>1.2</v>
      </c>
      <c r="B10" s="49" t="s">
        <v>23</v>
      </c>
      <c r="D10" s="50"/>
      <c r="E10" s="54">
        <v>45807</v>
      </c>
      <c r="F10" s="56">
        <f t="shared" ref="F10:F36" si="6">IF(ISBLANK(E10)," - ",IF(G10=0,E10,E10+G10-1))</f>
        <v>45810</v>
      </c>
      <c r="G10" s="18">
        <v>4</v>
      </c>
      <c r="H10" s="19">
        <v>0</v>
      </c>
      <c r="I10" s="20">
        <f t="shared" si="4"/>
        <v>2</v>
      </c>
      <c r="J10" s="33"/>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8" x14ac:dyDescent="0.2">
      <c r="A11" s="16" t="str">
        <f t="shared" si="5"/>
        <v>1.3</v>
      </c>
      <c r="B11" s="49" t="s">
        <v>20</v>
      </c>
      <c r="D11" s="50"/>
      <c r="E11" s="54">
        <v>45811</v>
      </c>
      <c r="F11" s="56">
        <f t="shared" si="6"/>
        <v>45811</v>
      </c>
      <c r="G11" s="18">
        <v>1</v>
      </c>
      <c r="H11" s="19">
        <v>0</v>
      </c>
      <c r="I11" s="20">
        <f t="shared" si="4"/>
        <v>1</v>
      </c>
      <c r="J11" s="33"/>
      <c r="K11" s="16"/>
      <c r="L11" s="16"/>
      <c r="M11" s="3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7" customFormat="1" ht="24" x14ac:dyDescent="0.2">
      <c r="A12" s="16" t="str">
        <f t="shared" si="5"/>
        <v>1.4</v>
      </c>
      <c r="B12" s="49" t="s">
        <v>21</v>
      </c>
      <c r="D12" s="50"/>
      <c r="E12" s="54">
        <v>45812</v>
      </c>
      <c r="F12" s="56">
        <f t="shared" si="6"/>
        <v>45816</v>
      </c>
      <c r="G12" s="18">
        <v>5</v>
      </c>
      <c r="H12" s="19">
        <v>0</v>
      </c>
      <c r="I12" s="20">
        <f t="shared" si="4"/>
        <v>3</v>
      </c>
      <c r="J12" s="33"/>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s="17" customFormat="1" ht="18" x14ac:dyDescent="0.2">
      <c r="A13" s="16" t="str">
        <f t="shared" si="5"/>
        <v>1.5</v>
      </c>
      <c r="B13" s="49" t="s">
        <v>30</v>
      </c>
      <c r="D13" s="50"/>
      <c r="E13" s="54">
        <v>45693</v>
      </c>
      <c r="F13" s="56">
        <f t="shared" si="6"/>
        <v>45697</v>
      </c>
      <c r="G13" s="18">
        <v>5</v>
      </c>
      <c r="H13" s="19">
        <v>0</v>
      </c>
      <c r="I13" s="20">
        <f t="shared" si="4"/>
        <v>3</v>
      </c>
      <c r="J13" s="33"/>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8" x14ac:dyDescent="0.2">
      <c r="A14" s="16" t="str">
        <f t="shared" si="5"/>
        <v>1.6</v>
      </c>
      <c r="B14" s="62" t="s">
        <v>33</v>
      </c>
      <c r="D14" s="50"/>
      <c r="E14" s="54">
        <v>45871</v>
      </c>
      <c r="F14" s="56">
        <f t="shared" si="6"/>
        <v>45885</v>
      </c>
      <c r="G14" s="18">
        <v>15</v>
      </c>
      <c r="H14" s="19">
        <v>0</v>
      </c>
      <c r="I14" s="20">
        <f t="shared" si="4"/>
        <v>10</v>
      </c>
      <c r="J14" s="33"/>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1" customFormat="1" ht="18" x14ac:dyDescent="0.2">
      <c r="A15" s="9" t="str">
        <f>IF(ISERROR(VALUE(SUBSTITUTE(prevWBS,".",""))),"1",IF(ISERROR(FIND("`",SUBSTITUTE(prevWBS,".","`",1))),TEXT(VALUE(prevWBS)+1,"#"),TEXT(VALUE(LEFT(prevWBS,FIND("`",SUBSTITUTE(prevWBS,".","`",1))-1))+1,"#")))</f>
        <v>2</v>
      </c>
      <c r="B15" s="10" t="s">
        <v>14</v>
      </c>
      <c r="D15" s="12"/>
      <c r="E15" s="55"/>
      <c r="F15" s="55" t="str">
        <f t="shared" si="6"/>
        <v xml:space="preserve"> - </v>
      </c>
      <c r="G15" s="13"/>
      <c r="H15" s="14"/>
      <c r="I15" s="15" t="str">
        <f t="shared" si="4"/>
        <v xml:space="preserve"> - </v>
      </c>
      <c r="J15" s="34"/>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row>
    <row r="16" spans="1:66" s="17" customFormat="1" ht="18" x14ac:dyDescent="0.2">
      <c r="A1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6" s="49" t="s">
        <v>24</v>
      </c>
      <c r="D16" s="50"/>
      <c r="E16" s="54">
        <v>45817</v>
      </c>
      <c r="F16" s="56">
        <f t="shared" si="6"/>
        <v>45826</v>
      </c>
      <c r="G16" s="18">
        <v>10</v>
      </c>
      <c r="H16" s="19">
        <v>0</v>
      </c>
      <c r="I16" s="20">
        <f t="shared" si="4"/>
        <v>8</v>
      </c>
      <c r="J16" s="33"/>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7" customFormat="1" ht="18" x14ac:dyDescent="0.2">
      <c r="A1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7" s="49" t="s">
        <v>25</v>
      </c>
      <c r="D17" s="50"/>
      <c r="E17" s="54">
        <v>45827</v>
      </c>
      <c r="F17" s="56">
        <f t="shared" si="6"/>
        <v>45841</v>
      </c>
      <c r="G17" s="18">
        <v>15</v>
      </c>
      <c r="H17" s="19">
        <v>0</v>
      </c>
      <c r="I17" s="20">
        <f t="shared" si="4"/>
        <v>11</v>
      </c>
      <c r="J17" s="33"/>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7" customFormat="1" ht="18" x14ac:dyDescent="0.2">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8" s="49" t="s">
        <v>26</v>
      </c>
      <c r="D18" s="50"/>
      <c r="E18" s="54">
        <v>45827</v>
      </c>
      <c r="F18" s="56">
        <f t="shared" si="6"/>
        <v>45831</v>
      </c>
      <c r="G18" s="18">
        <v>5</v>
      </c>
      <c r="H18" s="19">
        <v>0</v>
      </c>
      <c r="I18" s="20">
        <f t="shared" si="4"/>
        <v>3</v>
      </c>
      <c r="J18" s="33"/>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s="17" customFormat="1" ht="18" x14ac:dyDescent="0.2">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9" s="57" t="s">
        <v>27</v>
      </c>
      <c r="D19" s="50"/>
      <c r="E19" s="54">
        <v>45832</v>
      </c>
      <c r="F19" s="56">
        <f t="shared" si="6"/>
        <v>45836</v>
      </c>
      <c r="G19" s="18">
        <v>5</v>
      </c>
      <c r="H19" s="19">
        <v>0</v>
      </c>
      <c r="I19" s="20">
        <f t="shared" si="4"/>
        <v>4</v>
      </c>
      <c r="J19" s="33"/>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7" customFormat="1" ht="18" x14ac:dyDescent="0.2">
      <c r="A20"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0" s="62" t="s">
        <v>28</v>
      </c>
      <c r="D20" s="50"/>
      <c r="E20" s="54">
        <v>45837</v>
      </c>
      <c r="F20" s="56">
        <f t="shared" si="6"/>
        <v>45841</v>
      </c>
      <c r="G20" s="18">
        <v>5</v>
      </c>
      <c r="H20" s="19">
        <v>0</v>
      </c>
      <c r="I20" s="20">
        <f t="shared" si="4"/>
        <v>4</v>
      </c>
      <c r="J20" s="33"/>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s="11" customFormat="1" ht="18" x14ac:dyDescent="0.2">
      <c r="A21" s="9" t="str">
        <f>IF(ISERROR(VALUE(SUBSTITUTE(prevWBS,".",""))),"1",IF(ISERROR(FIND("`",SUBSTITUTE(prevWBS,".","`",1))),TEXT(VALUE(prevWBS)+1,"#"),TEXT(VALUE(LEFT(prevWBS,FIND("`",SUBSTITUTE(prevWBS,".","`",1))-1))+1,"#")))</f>
        <v>3</v>
      </c>
      <c r="B21" s="10" t="s">
        <v>15</v>
      </c>
      <c r="D21" s="12"/>
      <c r="E21" s="55"/>
      <c r="F21" s="55" t="str">
        <f t="shared" ref="F21:F24" si="7">IF(ISBLANK(E21)," - ",IF(G21=0,E21,E21+G21-1))</f>
        <v xml:space="preserve"> - </v>
      </c>
      <c r="G21" s="13"/>
      <c r="H21" s="14"/>
      <c r="I21" s="15" t="str">
        <f t="shared" ref="I21" si="8">IF(OR(F21=0,E21=0)," - ",NETWORKDAYS(E21,F21))</f>
        <v xml:space="preserve"> - </v>
      </c>
      <c r="J21" s="34"/>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row>
    <row r="22" spans="1:66" s="17" customFormat="1" ht="18" x14ac:dyDescent="0.2">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2" s="49" t="s">
        <v>29</v>
      </c>
      <c r="D22" s="58"/>
      <c r="E22" s="54">
        <v>45842</v>
      </c>
      <c r="F22" s="56">
        <f t="shared" si="7"/>
        <v>45845</v>
      </c>
      <c r="G22" s="18">
        <v>4</v>
      </c>
      <c r="H22" s="19">
        <v>0</v>
      </c>
      <c r="I22" s="59"/>
      <c r="J22" s="60"/>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18" x14ac:dyDescent="0.2">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3" s="49" t="s">
        <v>31</v>
      </c>
      <c r="D23" s="58"/>
      <c r="E23" s="54">
        <v>45846</v>
      </c>
      <c r="F23" s="56">
        <f t="shared" si="7"/>
        <v>45850</v>
      </c>
      <c r="G23" s="18">
        <v>5</v>
      </c>
      <c r="H23" s="19">
        <v>0</v>
      </c>
      <c r="I23" s="59"/>
      <c r="J23" s="60"/>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8" x14ac:dyDescent="0.2">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4" s="62" t="s">
        <v>32</v>
      </c>
      <c r="D24" s="58"/>
      <c r="E24" s="54">
        <v>45851</v>
      </c>
      <c r="F24" s="56">
        <f t="shared" si="7"/>
        <v>45870</v>
      </c>
      <c r="G24" s="18">
        <v>20</v>
      </c>
      <c r="H24" s="19">
        <v>0</v>
      </c>
      <c r="I24" s="59"/>
      <c r="J24" s="60"/>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1" customFormat="1" ht="18" x14ac:dyDescent="0.2">
      <c r="A25" s="9" t="str">
        <f>IF(ISERROR(VALUE(SUBSTITUTE(prevWBS,".",""))),"1",IF(ISERROR(FIND("`",SUBSTITUTE(prevWBS,".","`",1))),TEXT(VALUE(prevWBS)+1,"#"),TEXT(VALUE(LEFT(prevWBS,FIND("`",SUBSTITUTE(prevWBS,".","`",1))-1))+1,"#")))</f>
        <v>4</v>
      </c>
      <c r="B25" s="10" t="s">
        <v>34</v>
      </c>
      <c r="D25" s="12"/>
      <c r="E25" s="55"/>
      <c r="F25" s="55" t="str">
        <f t="shared" si="6"/>
        <v xml:space="preserve"> - </v>
      </c>
      <c r="G25" s="13"/>
      <c r="H25" s="14"/>
      <c r="I25" s="15" t="str">
        <f t="shared" si="4"/>
        <v xml:space="preserve"> - </v>
      </c>
      <c r="J25" s="34"/>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row>
    <row r="26" spans="1:66" s="17" customFormat="1" ht="24" x14ac:dyDescent="0.2">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6" s="49" t="s">
        <v>35</v>
      </c>
      <c r="D26" s="50"/>
      <c r="E26" s="54">
        <v>45871</v>
      </c>
      <c r="F26" s="56">
        <f t="shared" si="6"/>
        <v>45874</v>
      </c>
      <c r="G26" s="18">
        <v>4</v>
      </c>
      <c r="H26" s="19">
        <v>0</v>
      </c>
      <c r="I26" s="20">
        <f t="shared" si="4"/>
        <v>2</v>
      </c>
      <c r="J26" s="33"/>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s="17" customFormat="1" ht="18" x14ac:dyDescent="0.2">
      <c r="A2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7" s="49" t="s">
        <v>36</v>
      </c>
      <c r="D27" s="50"/>
      <c r="E27" s="54">
        <v>45875</v>
      </c>
      <c r="F27" s="56">
        <f t="shared" si="6"/>
        <v>45884</v>
      </c>
      <c r="G27" s="18">
        <v>10</v>
      </c>
      <c r="H27" s="19">
        <v>0</v>
      </c>
      <c r="I27" s="20">
        <f t="shared" si="4"/>
        <v>8</v>
      </c>
      <c r="J27" s="33"/>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row r="28" spans="1:66" s="17" customFormat="1" ht="18" x14ac:dyDescent="0.2">
      <c r="A2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8" s="49" t="s">
        <v>37</v>
      </c>
      <c r="D28" s="50"/>
      <c r="E28" s="54">
        <v>45885</v>
      </c>
      <c r="F28" s="56">
        <f t="shared" si="6"/>
        <v>45900</v>
      </c>
      <c r="G28" s="18">
        <v>16</v>
      </c>
      <c r="H28" s="19">
        <v>0</v>
      </c>
      <c r="I28" s="20">
        <f t="shared" si="4"/>
        <v>10</v>
      </c>
      <c r="J28" s="33"/>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row>
    <row r="29" spans="1:66" s="17" customFormat="1" ht="18" x14ac:dyDescent="0.2">
      <c r="A2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9" s="49" t="s">
        <v>53</v>
      </c>
      <c r="D29" s="50"/>
      <c r="E29" s="54">
        <v>45908</v>
      </c>
      <c r="F29" s="56">
        <f t="shared" si="6"/>
        <v>45912</v>
      </c>
      <c r="G29" s="18">
        <v>5</v>
      </c>
      <c r="H29" s="19">
        <v>0</v>
      </c>
      <c r="I29" s="20">
        <f t="shared" si="4"/>
        <v>5</v>
      </c>
      <c r="J29" s="33"/>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row>
    <row r="30" spans="1:66" s="17" customFormat="1" ht="18" x14ac:dyDescent="0.2">
      <c r="A30"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0" s="49" t="s">
        <v>54</v>
      </c>
      <c r="D30" s="50"/>
      <c r="E30" s="54">
        <v>45913</v>
      </c>
      <c r="F30" s="56">
        <f t="shared" si="6"/>
        <v>45917</v>
      </c>
      <c r="G30" s="18">
        <v>5</v>
      </c>
      <c r="H30" s="19">
        <v>0</v>
      </c>
      <c r="I30" s="20">
        <f t="shared" si="4"/>
        <v>3</v>
      </c>
      <c r="J30" s="33"/>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row>
    <row r="31" spans="1:66" s="11" customFormat="1" ht="18" x14ac:dyDescent="0.2">
      <c r="A31" s="9" t="str">
        <f>IF(ISERROR(VALUE(SUBSTITUTE(prevWBS,".",""))),"1",IF(ISERROR(FIND("`",SUBSTITUTE(prevWBS,".","`",1))),TEXT(VALUE(prevWBS)+1,"#"),TEXT(VALUE(LEFT(prevWBS,FIND("`",SUBSTITUTE(prevWBS,".","`",1))-1))+1,"#")))</f>
        <v>5</v>
      </c>
      <c r="B31" s="10" t="s">
        <v>42</v>
      </c>
      <c r="D31" s="12"/>
      <c r="E31" s="55"/>
      <c r="F31" s="55" t="str">
        <f t="shared" si="6"/>
        <v xml:space="preserve"> - </v>
      </c>
      <c r="G31" s="13"/>
      <c r="H31" s="14"/>
      <c r="I31" s="15" t="str">
        <f t="shared" si="4"/>
        <v xml:space="preserve"> - </v>
      </c>
      <c r="J31" s="34"/>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row>
    <row r="32" spans="1:66" s="17" customFormat="1" ht="18" x14ac:dyDescent="0.2">
      <c r="A32" s="16" t="str">
        <f t="shared" ref="A32:A45"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2" s="49" t="s">
        <v>16</v>
      </c>
      <c r="D32" s="50"/>
      <c r="E32" s="54">
        <v>45773</v>
      </c>
      <c r="F32" s="56">
        <f t="shared" si="6"/>
        <v>45802</v>
      </c>
      <c r="G32" s="18">
        <v>30</v>
      </c>
      <c r="H32" s="19">
        <v>0</v>
      </c>
      <c r="I32" s="20">
        <f t="shared" si="4"/>
        <v>20</v>
      </c>
      <c r="J32" s="33"/>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row>
    <row r="33" spans="1:66" s="17" customFormat="1" ht="18" x14ac:dyDescent="0.2">
      <c r="A33" s="16" t="str">
        <f t="shared" si="9"/>
        <v>5.2</v>
      </c>
      <c r="B33" s="49" t="s">
        <v>38</v>
      </c>
      <c r="D33" s="50"/>
      <c r="E33" s="54">
        <v>45822</v>
      </c>
      <c r="F33" s="56">
        <f t="shared" si="6"/>
        <v>45823</v>
      </c>
      <c r="G33" s="18">
        <v>2</v>
      </c>
      <c r="H33" s="19">
        <v>0</v>
      </c>
      <c r="I33" s="20">
        <f t="shared" si="4"/>
        <v>0</v>
      </c>
      <c r="J33" s="33"/>
      <c r="K33" s="16"/>
      <c r="L33" s="16"/>
      <c r="M33" s="16"/>
      <c r="N33" s="16"/>
      <c r="O33" s="16"/>
      <c r="P33" s="16"/>
      <c r="Q33" s="16"/>
      <c r="R33" s="16"/>
      <c r="S33" s="16"/>
      <c r="T33" s="16"/>
      <c r="U33" s="16"/>
      <c r="V33" s="16"/>
      <c r="W33" s="16"/>
      <c r="X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row>
    <row r="34" spans="1:66" s="17" customFormat="1" ht="18" x14ac:dyDescent="0.2">
      <c r="A34" s="16" t="str">
        <f t="shared" si="9"/>
        <v>5.3</v>
      </c>
      <c r="B34" s="49" t="s">
        <v>39</v>
      </c>
      <c r="D34" s="50"/>
      <c r="E34" s="54">
        <v>45843</v>
      </c>
      <c r="F34" s="56">
        <f t="shared" si="6"/>
        <v>45844</v>
      </c>
      <c r="G34" s="18">
        <v>2</v>
      </c>
      <c r="H34" s="19">
        <v>0</v>
      </c>
      <c r="I34" s="20">
        <f t="shared" si="4"/>
        <v>0</v>
      </c>
      <c r="J34" s="33"/>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row>
    <row r="35" spans="1:66" s="17" customFormat="1" ht="18" x14ac:dyDescent="0.2">
      <c r="A35" s="16" t="str">
        <f t="shared" si="9"/>
        <v>5.4</v>
      </c>
      <c r="B35" s="49" t="s">
        <v>40</v>
      </c>
      <c r="D35" s="50"/>
      <c r="E35" s="54">
        <v>45864</v>
      </c>
      <c r="F35" s="56">
        <f t="shared" si="6"/>
        <v>45865</v>
      </c>
      <c r="G35" s="18">
        <v>2</v>
      </c>
      <c r="H35" s="19">
        <v>0</v>
      </c>
      <c r="I35" s="20">
        <f t="shared" si="4"/>
        <v>0</v>
      </c>
      <c r="J35" s="33"/>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row>
    <row r="36" spans="1:66" s="17" customFormat="1" ht="18" x14ac:dyDescent="0.2">
      <c r="A36" s="16" t="str">
        <f t="shared" si="9"/>
        <v>5.5</v>
      </c>
      <c r="B36" s="49" t="s">
        <v>41</v>
      </c>
      <c r="D36" s="50"/>
      <c r="E36" s="54">
        <v>45885</v>
      </c>
      <c r="F36" s="56">
        <f t="shared" si="6"/>
        <v>45886</v>
      </c>
      <c r="G36" s="18">
        <v>2</v>
      </c>
      <c r="H36" s="19">
        <v>0</v>
      </c>
      <c r="I36" s="20">
        <f t="shared" si="4"/>
        <v>0</v>
      </c>
      <c r="J36" s="33"/>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row>
    <row r="37" spans="1:66" s="61" customFormat="1" ht="18" x14ac:dyDescent="0.2">
      <c r="A37" s="16" t="str">
        <f t="shared" si="9"/>
        <v>5.6</v>
      </c>
      <c r="B37" s="49" t="s">
        <v>43</v>
      </c>
      <c r="C37" s="17"/>
      <c r="D37" s="50"/>
      <c r="E37" s="54">
        <v>45906</v>
      </c>
      <c r="F37" s="56">
        <f t="shared" ref="F37:F40" si="10">IF(ISBLANK(E37)," - ",IF(G37=0,E37,E37+G37-1))</f>
        <v>45907</v>
      </c>
      <c r="G37" s="18">
        <v>2</v>
      </c>
      <c r="H37" s="19">
        <v>0</v>
      </c>
      <c r="I37" s="59"/>
      <c r="J37" s="60"/>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row>
    <row r="38" spans="1:66" s="61" customFormat="1" ht="18" x14ac:dyDescent="0.2">
      <c r="A38" s="16" t="str">
        <f t="shared" si="9"/>
        <v>5.7</v>
      </c>
      <c r="B38" s="49" t="s">
        <v>47</v>
      </c>
      <c r="C38" s="17"/>
      <c r="D38" s="50"/>
      <c r="E38" s="54">
        <v>45920</v>
      </c>
      <c r="F38" s="56">
        <f t="shared" si="10"/>
        <v>45921</v>
      </c>
      <c r="G38" s="18">
        <v>2</v>
      </c>
      <c r="H38" s="19">
        <v>0</v>
      </c>
      <c r="I38" s="59"/>
      <c r="J38" s="60"/>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row>
    <row r="39" spans="1:66" s="61" customFormat="1" ht="18" x14ac:dyDescent="0.2">
      <c r="A39" s="16" t="str">
        <f t="shared" si="9"/>
        <v>5.8</v>
      </c>
      <c r="B39" s="49" t="s">
        <v>51</v>
      </c>
      <c r="C39" s="17"/>
      <c r="D39" s="50"/>
      <c r="E39" s="54">
        <v>45803</v>
      </c>
      <c r="F39" s="56">
        <f t="shared" si="10"/>
        <v>45917</v>
      </c>
      <c r="G39" s="18">
        <v>115</v>
      </c>
      <c r="H39" s="19">
        <v>0</v>
      </c>
      <c r="I39" s="59"/>
      <c r="J39" s="60"/>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row>
    <row r="40" spans="1:66" s="61" customFormat="1" ht="18" x14ac:dyDescent="0.2">
      <c r="A40" s="16" t="str">
        <f t="shared" si="9"/>
        <v>5.9</v>
      </c>
      <c r="B40" s="49" t="s">
        <v>52</v>
      </c>
      <c r="C40" s="17"/>
      <c r="D40" s="50"/>
      <c r="E40" s="54">
        <v>45922</v>
      </c>
      <c r="F40" s="56">
        <f t="shared" si="10"/>
        <v>45935</v>
      </c>
      <c r="G40" s="18">
        <v>14</v>
      </c>
      <c r="H40" s="19">
        <v>0</v>
      </c>
      <c r="I40" s="59"/>
      <c r="J40" s="60"/>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row>
    <row r="41" spans="1:66" s="61" customFormat="1" ht="18" x14ac:dyDescent="0.2">
      <c r="A41" s="16" t="str">
        <f t="shared" si="9"/>
        <v>5.10</v>
      </c>
      <c r="B41" s="49" t="s">
        <v>46</v>
      </c>
      <c r="C41" s="17"/>
      <c r="D41" s="50"/>
      <c r="E41" s="54">
        <v>45936</v>
      </c>
      <c r="F41" s="56">
        <f t="shared" ref="F41:F47" si="11">IF(ISBLANK(E41)," - ",IF(G41=0,E41,E41+G41-1))</f>
        <v>45942</v>
      </c>
      <c r="G41" s="18">
        <v>7</v>
      </c>
      <c r="H41" s="19">
        <v>0</v>
      </c>
      <c r="I41" s="59"/>
      <c r="J41" s="60"/>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row>
    <row r="42" spans="1:66" s="61" customFormat="1" ht="18" x14ac:dyDescent="0.2">
      <c r="A42" s="16" t="str">
        <f t="shared" si="9"/>
        <v>5.11</v>
      </c>
      <c r="B42" s="49" t="s">
        <v>45</v>
      </c>
      <c r="C42" s="17"/>
      <c r="D42" s="50"/>
      <c r="E42" s="54">
        <v>45936</v>
      </c>
      <c r="F42" s="56">
        <f t="shared" si="11"/>
        <v>45945</v>
      </c>
      <c r="G42" s="18">
        <v>10</v>
      </c>
      <c r="H42" s="19">
        <v>0</v>
      </c>
      <c r="I42" s="59"/>
      <c r="J42" s="60"/>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row>
    <row r="43" spans="1:66" s="61" customFormat="1" ht="18" x14ac:dyDescent="0.2">
      <c r="A43" s="16" t="str">
        <f t="shared" si="9"/>
        <v>5.12</v>
      </c>
      <c r="B43" s="49" t="s">
        <v>48</v>
      </c>
      <c r="C43" s="17"/>
      <c r="D43" s="50"/>
      <c r="E43" s="54">
        <v>45943</v>
      </c>
      <c r="F43" s="56">
        <f t="shared" ref="F43:F45" si="12">IF(ISBLANK(E43)," - ",IF(G43=0,E43,E43+G43-1))</f>
        <v>45947</v>
      </c>
      <c r="G43" s="18">
        <v>5</v>
      </c>
      <c r="H43" s="19">
        <v>0</v>
      </c>
      <c r="I43" s="59"/>
      <c r="J43" s="60"/>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row>
    <row r="44" spans="1:66" s="61" customFormat="1" ht="18" x14ac:dyDescent="0.2">
      <c r="A44" s="16" t="str">
        <f t="shared" si="9"/>
        <v>5.13</v>
      </c>
      <c r="B44" s="49" t="s">
        <v>49</v>
      </c>
      <c r="C44" s="17"/>
      <c r="D44" s="50"/>
      <c r="E44" s="54">
        <v>45943</v>
      </c>
      <c r="F44" s="56">
        <f t="shared" ref="F44" si="13">IF(ISBLANK(E44)," - ",IF(G44=0,E44,E44+G44-1))</f>
        <v>45947</v>
      </c>
      <c r="G44" s="18">
        <v>5</v>
      </c>
      <c r="H44" s="19">
        <v>0</v>
      </c>
      <c r="I44" s="59"/>
      <c r="J44" s="60"/>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row>
    <row r="45" spans="1:66" s="61" customFormat="1" ht="18" x14ac:dyDescent="0.2">
      <c r="A45" s="16" t="str">
        <f t="shared" si="9"/>
        <v>5.14</v>
      </c>
      <c r="B45" s="49" t="s">
        <v>50</v>
      </c>
      <c r="C45" s="17"/>
      <c r="D45" s="50"/>
      <c r="E45" s="54">
        <v>45948</v>
      </c>
      <c r="F45" s="56">
        <f t="shared" si="12"/>
        <v>45950</v>
      </c>
      <c r="G45" s="18">
        <v>3</v>
      </c>
      <c r="H45" s="19">
        <v>0</v>
      </c>
      <c r="I45" s="59"/>
      <c r="J45" s="60"/>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row>
    <row r="46" spans="1:66" s="11" customFormat="1" ht="18" x14ac:dyDescent="0.2">
      <c r="A46" s="9" t="str">
        <f>IF(ISERROR(VALUE(SUBSTITUTE(prevWBS,".",""))),"1",IF(ISERROR(FIND("`",SUBSTITUTE(prevWBS,".","`",1))),TEXT(VALUE(prevWBS)+1,"#"),TEXT(VALUE(LEFT(prevWBS,FIND("`",SUBSTITUTE(prevWBS,".","`",1))-1))+1,"#")))</f>
        <v>6</v>
      </c>
      <c r="B46" s="10" t="s">
        <v>44</v>
      </c>
      <c r="D46" s="12"/>
      <c r="E46" s="55"/>
      <c r="F46" s="55" t="str">
        <f t="shared" si="11"/>
        <v xml:space="preserve"> - </v>
      </c>
      <c r="G46" s="13"/>
      <c r="H46" s="14"/>
      <c r="I46" s="15" t="str">
        <f t="shared" ref="I46:I47" si="14">IF(OR(F46=0,E46=0)," - ",NETWORKDAYS(E46,F46))</f>
        <v xml:space="preserve"> - </v>
      </c>
      <c r="J46" s="34"/>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row>
    <row r="47" spans="1:66" s="17" customFormat="1" ht="18" x14ac:dyDescent="0.2">
      <c r="A4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47" s="62" t="s">
        <v>55</v>
      </c>
      <c r="D47" s="50"/>
      <c r="E47" s="54">
        <v>45952</v>
      </c>
      <c r="F47" s="56">
        <f t="shared" si="11"/>
        <v>45952</v>
      </c>
      <c r="G47" s="18">
        <v>1</v>
      </c>
      <c r="H47" s="19">
        <v>0</v>
      </c>
      <c r="I47" s="20">
        <f t="shared" si="14"/>
        <v>1</v>
      </c>
      <c r="J47" s="33"/>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47">
    <cfRule type="dataBar" priority="1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9" priority="53">
      <formula>K$6=TODAY()</formula>
    </cfRule>
  </conditionalFormatting>
  <conditionalFormatting sqref="K6:BN32 K33:X33 AG33:BN33 K34:BN47">
    <cfRule type="expression" dxfId="8" priority="16">
      <formula>K$6=TODAY()</formula>
    </cfRule>
  </conditionalFormatting>
  <conditionalFormatting sqref="K8:BN32 K33:X33 AG33:BN33 K34:BN47">
    <cfRule type="expression" dxfId="7" priority="56">
      <formula>AND($E8&lt;=K$6,ROUNDDOWN(($F8-$E8+1)*$H8,0)+$E8-1&gt;=K$6)</formula>
    </cfRule>
    <cfRule type="expression" dxfId="6" priority="57">
      <formula>AND(NOT(ISBLANK($E8)),$E8&lt;=K$6,$F8&gt;=K$6)</formula>
    </cfRule>
  </conditionalFormatting>
  <conditionalFormatting sqref="AA33">
    <cfRule type="expression" dxfId="5" priority="59">
      <formula>Y$6=TODAY()</formula>
    </cfRule>
    <cfRule type="expression" dxfId="4" priority="72">
      <formula>AND($E33&lt;=Y$6,ROUNDDOWN(($F33-$E33+1)*$H33,0)+$E33-1&gt;=Y$6)</formula>
    </cfRule>
    <cfRule type="expression" dxfId="3" priority="73">
      <formula>AND(NOT(ISBLANK($E33)),$E33&lt;=Y$6,$F33&gt;=Y$6)</formula>
    </cfRule>
  </conditionalFormatting>
  <conditionalFormatting sqref="AB33:AF33">
    <cfRule type="expression" dxfId="2" priority="62">
      <formula>AND($E33&lt;=AA$6,ROUNDDOWN(($F33-$E33+1)*$H33,0)+$E33-1&gt;=AA$6)</formula>
    </cfRule>
    <cfRule type="expression" dxfId="1" priority="63">
      <formula>AND(NOT(ISBLANK($E33)),$E33&lt;=AA$6,$F33&gt;=AA$6)</formula>
    </cfRule>
    <cfRule type="expression" dxfId="0" priority="65">
      <formula>AA$6=TODAY()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orientation="landscape" r:id="rId1"/>
  <headerFooter alignWithMargins="0"/>
  <ignoredErrors>
    <ignoredError sqref="E15 E25 E31 G13 G15:H15 G25:H25 G31:H31 H19 H17 H18 H26:H29 H35 H32 H33 H34" unlockedFormula="1"/>
    <ignoredError sqref="A31 A25"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H8:H47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Adams, Harry</cp:lastModifiedBy>
  <cp:lastPrinted>2025-04-09T16:30:31Z</cp:lastPrinted>
  <dcterms:created xsi:type="dcterms:W3CDTF">2010-06-09T16:05:03Z</dcterms:created>
  <dcterms:modified xsi:type="dcterms:W3CDTF">2025-07-15T19:13:00Z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MSIP_Label_052e85c4-bae3-4de6-b411-a1490451a9c2_Enabled">
    <vt:lpwstr>true</vt:lpwstr>
  </property>
  <property fmtid="{D5CDD505-2E9C-101B-9397-08002B2CF9AE}" pid="6" name="MSIP_Label_052e85c4-bae3-4de6-b411-a1490451a9c2_SetDate">
    <vt:lpwstr>2025-05-20T19:26:37Z</vt:lpwstr>
  </property>
  <property fmtid="{D5CDD505-2E9C-101B-9397-08002B2CF9AE}" pid="7" name="MSIP_Label_052e85c4-bae3-4de6-b411-a1490451a9c2_Method">
    <vt:lpwstr>Standard</vt:lpwstr>
  </property>
  <property fmtid="{D5CDD505-2E9C-101B-9397-08002B2CF9AE}" pid="8" name="MSIP_Label_052e85c4-bae3-4de6-b411-a1490451a9c2_Name">
    <vt:lpwstr>Unrestricted</vt:lpwstr>
  </property>
  <property fmtid="{D5CDD505-2E9C-101B-9397-08002B2CF9AE}" pid="9" name="MSIP_Label_052e85c4-bae3-4de6-b411-a1490451a9c2_SiteId">
    <vt:lpwstr>26583ed4-9ffc-46c2-9d1a-f0ca35a30a8d</vt:lpwstr>
  </property>
  <property fmtid="{D5CDD505-2E9C-101B-9397-08002B2CF9AE}" pid="10" name="MSIP_Label_052e85c4-bae3-4de6-b411-a1490451a9c2_ActionId">
    <vt:lpwstr>de900ded-6cca-432f-ad7a-b463c3385e44</vt:lpwstr>
  </property>
  <property fmtid="{D5CDD505-2E9C-101B-9397-08002B2CF9AE}" pid="11" name="MSIP_Label_052e85c4-bae3-4de6-b411-a1490451a9c2_ContentBits">
    <vt:lpwstr>0</vt:lpwstr>
  </property>
  <property fmtid="{D5CDD505-2E9C-101B-9397-08002B2CF9AE}" pid="12" name="MSIP_Label_052e85c4-bae3-4de6-b411-a1490451a9c2_Tag">
    <vt:lpwstr>10, 3, 0, 1</vt:lpwstr>
  </property>
</Properties>
</file>